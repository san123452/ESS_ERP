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9040" windowHeight="17640" tabRatio="600" firstSheet="0" activeTab="0" autoFilterDateGrouping="1"/>
  </bookViews>
  <sheets>
    <sheet name="경영_요약" sheetId="1" state="visible" r:id="rId1"/>
    <sheet name="월별_손익" sheetId="2" state="visible" r:id="rId2"/>
    <sheet name="분기별_실적" sheetId="3" state="visible" r:id="rId3"/>
    <sheet name="AI_장기_예측" sheetId="4" state="visible" r:id="rId4"/>
    <sheet name="품질_분석" sheetId="5" state="visible" r:id="rId5"/>
    <sheet name="취소_분석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1">
    <numFmt numFmtId="164" formatCode="0.00&quot;%&quot;"/>
  </numFmts>
  <fonts count="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Arial"/>
      <b val="1"/>
      <color rgb="00FFFFFF"/>
      <sz val="12"/>
    </font>
    <font>
      <name val="Arial"/>
      <b val="1"/>
      <color rgb="001C365E"/>
      <sz val="14"/>
    </font>
    <font>
      <name val="Arial"/>
      <b val="1"/>
      <color rgb="00FFFFFF"/>
      <sz val="10"/>
    </font>
    <font>
      <name val="Arial"/>
      <color rgb="001A2742"/>
      <sz val="10"/>
    </font>
    <font>
      <name val="Arial"/>
      <b val="1"/>
      <color rgb="001A2742"/>
      <sz val="10"/>
    </font>
  </fonts>
  <fills count="6">
    <fill>
      <patternFill/>
    </fill>
    <fill>
      <patternFill patternType="gray125"/>
    </fill>
    <fill>
      <patternFill patternType="solid">
        <fgColor rgb="001C365E"/>
      </patternFill>
    </fill>
    <fill>
      <patternFill patternType="solid">
        <fgColor rgb="00F5F7FA"/>
      </patternFill>
    </fill>
    <fill>
      <patternFill patternType="solid">
        <fgColor rgb="002B4E88"/>
      </patternFill>
    </fill>
    <fill>
      <patternFill patternType="solid">
        <fgColor rgb="00E5E9EF"/>
      </patternFill>
    </fill>
  </fills>
  <borders count="3">
    <border>
      <left/>
      <right/>
      <top/>
      <bottom/>
      <diagonal/>
    </border>
    <border>
      <left style="medium">
        <color rgb="001C365E"/>
      </left>
      <right style="medium">
        <color rgb="001C365E"/>
      </right>
      <top style="medium">
        <color rgb="001C365E"/>
      </top>
      <bottom style="medium">
        <color rgb="001C365E"/>
      </bottom>
    </border>
    <border>
      <left style="thin">
        <color rgb="00C8D2E0"/>
      </left>
      <right style="thin">
        <color rgb="00C8D2E0"/>
      </right>
      <top style="thin">
        <color rgb="00C8D2E0"/>
      </top>
      <bottom style="thin">
        <color rgb="00C8D2E0"/>
      </bottom>
    </border>
  </borders>
  <cellStyleXfs count="1">
    <xf numFmtId="0" fontId="0" fillId="0" borderId="0" applyAlignment="1">
      <alignment vertical="center"/>
    </xf>
  </cellStyleXfs>
  <cellXfs count="17">
    <xf numFmtId="0" fontId="0" fillId="0" borderId="0" applyAlignment="1" pivotButton="0" quotePrefix="0" xfId="0">
      <alignment vertical="center"/>
    </xf>
    <xf numFmtId="0" fontId="0" fillId="0" borderId="0" pivotButton="0" quotePrefix="0" xfId="0"/>
    <xf numFmtId="0" fontId="2" fillId="2" borderId="1" applyAlignment="1" pivotButton="0" quotePrefix="0" xfId="0">
      <alignment horizontal="center" vertical="center"/>
    </xf>
    <xf numFmtId="0" fontId="3" fillId="0" borderId="0" applyAlignment="1" pivotButton="0" quotePrefix="0" xfId="0">
      <alignment horizontal="left" vertical="center"/>
    </xf>
    <xf numFmtId="0" fontId="4" fillId="2" borderId="2" applyAlignment="1" pivotButton="0" quotePrefix="0" xfId="0">
      <alignment horizontal="center" vertical="center"/>
    </xf>
    <xf numFmtId="0" fontId="5" fillId="3" borderId="2" applyAlignment="1" pivotButton="0" quotePrefix="0" xfId="0">
      <alignment horizontal="left" vertical="center"/>
    </xf>
    <xf numFmtId="3" fontId="5" fillId="3" borderId="2" applyAlignment="1" pivotButton="0" quotePrefix="0" xfId="0">
      <alignment horizontal="right" vertical="center"/>
    </xf>
    <xf numFmtId="0" fontId="5" fillId="0" borderId="2" applyAlignment="1" pivotButton="0" quotePrefix="0" xfId="0">
      <alignment horizontal="left" vertical="center"/>
    </xf>
    <xf numFmtId="3" fontId="5" fillId="0" borderId="2" applyAlignment="1" pivotButton="0" quotePrefix="0" xfId="0">
      <alignment horizontal="right" vertical="center"/>
    </xf>
    <xf numFmtId="164" fontId="5" fillId="0" borderId="2" applyAlignment="1" pivotButton="0" quotePrefix="0" xfId="0">
      <alignment horizontal="right" vertical="center"/>
    </xf>
    <xf numFmtId="0" fontId="4" fillId="3" borderId="2" applyAlignment="1" pivotButton="0" quotePrefix="0" xfId="0">
      <alignment horizontal="left" vertical="center"/>
    </xf>
    <xf numFmtId="0" fontId="4" fillId="4" borderId="2" applyAlignment="1" pivotButton="0" quotePrefix="0" xfId="0">
      <alignment horizontal="left" vertical="center"/>
    </xf>
    <xf numFmtId="164" fontId="5" fillId="3" borderId="2" applyAlignment="1" pivotButton="0" quotePrefix="0" xfId="0">
      <alignment horizontal="right" vertical="center"/>
    </xf>
    <xf numFmtId="0" fontId="3" fillId="0" borderId="0" pivotButton="0" quotePrefix="0" xfId="0"/>
    <xf numFmtId="0" fontId="6" fillId="5" borderId="2" pivotButton="0" quotePrefix="0" xfId="0"/>
    <xf numFmtId="3" fontId="6" fillId="5" borderId="2" applyAlignment="1" pivotButton="0" quotePrefix="0" xfId="0">
      <alignment horizontal="right" vertical="center"/>
    </xf>
    <xf numFmtId="164" fontId="6" fillId="5" borderId="2" applyAlignment="1" pivotButton="0" quotePrefix="0" xfId="0">
      <alignment horizontal="right" vertical="center"/>
    </xf>
  </cellXfs>
  <cellStyles count="1">
    <cellStyle name="표준" xfId="0" builtinId="0"/>
  </cellStyles>
  <dxfs count="4">
    <dxf>
      <font>
        <name val="Arial"/>
        <b val="1"/>
        <color rgb="00C0392B"/>
        <sz val="10"/>
      </font>
      <fill>
        <patternFill patternType="solid">
          <fgColor rgb="00FAE0DC"/>
        </patternFill>
      </fill>
    </dxf>
    <dxf>
      <font>
        <name val="Arial"/>
        <b val="1"/>
        <color rgb="00B47800"/>
        <sz val="10"/>
      </font>
      <fill>
        <patternFill patternType="solid">
          <fgColor rgb="00FFF4D2"/>
        </patternFill>
      </fill>
    </dxf>
    <dxf>
      <font>
        <name val="Arial"/>
        <b val="1"/>
        <color rgb="00277C60"/>
        <sz val="10"/>
      </font>
      <fill>
        <patternFill patternType="solid">
          <fgColor rgb="00D7F0E6"/>
        </patternFill>
      </fill>
    </dxf>
    <dxf>
      <fill>
        <patternFill patternType="solid">
          <fgColor rgb="00FAE0DC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tabColor rgb="001C365E"/>
    <outlinePr summaryBelow="1" summaryRight="1"/>
    <pageSetUpPr/>
  </sheetPr>
  <dimension ref="A1:D20"/>
  <sheetViews>
    <sheetView workbookViewId="0">
      <selection activeCell="A1" sqref="A1"/>
    </sheetView>
  </sheetViews>
  <sheetFormatPr baseColWidth="8" defaultRowHeight="15"/>
  <cols>
    <col width="26" customWidth="1" style="1" min="1" max="1"/>
    <col width="24" customWidth="1" style="1" min="2" max="2"/>
    <col width="10" customWidth="1" style="1" min="3" max="3"/>
    <col width="46" customWidth="1" style="1" min="4" max="4"/>
  </cols>
  <sheetData>
    <row r="1" ht="22" customHeight="1" s="1">
      <c r="A1" s="2" t="inlineStr">
        <is>
          <t>Run Reports  (Enable Macro -&gt; Click Button)</t>
        </is>
      </c>
    </row>
    <row r="2" ht="22" customHeight="1" s="1"/>
    <row r="3" ht="6" customHeight="1" s="1"/>
    <row r="4" ht="26" customHeight="1" s="1">
      <c r="A4" s="3" t="inlineStr">
        <is>
          <t>ESS ERP 경영 요약</t>
        </is>
      </c>
    </row>
    <row r="5">
      <c r="A5" s="4" t="inlineStr">
        <is>
          <t>지표</t>
        </is>
      </c>
      <c r="B5" s="4" t="inlineStr">
        <is>
          <t>값</t>
        </is>
      </c>
      <c r="C5" s="4" t="inlineStr">
        <is>
          <t>단위</t>
        </is>
      </c>
      <c r="D5" s="4" t="inlineStr">
        <is>
          <t>비고</t>
        </is>
      </c>
    </row>
    <row r="6">
      <c r="A6" s="5" t="inlineStr">
        <is>
          <t>총매출</t>
        </is>
      </c>
      <c r="B6" s="6" t="n">
        <v>1</v>
      </c>
      <c r="C6" s="5" t="inlineStr">
        <is>
          <t>KRW</t>
        </is>
      </c>
      <c r="D6" s="5" t="inlineStr">
        <is>
          <t>VAT 제외 기준</t>
        </is>
      </c>
    </row>
    <row r="7">
      <c r="A7" s="7" t="inlineStr">
        <is>
          <t>총원가</t>
        </is>
      </c>
      <c r="B7" s="8" t="n">
        <v>1</v>
      </c>
      <c r="C7" s="7" t="inlineStr">
        <is>
          <t>KRW</t>
        </is>
      </c>
      <c r="D7" s="7" t="inlineStr">
        <is>
          <t>BOM 원가 기준</t>
        </is>
      </c>
    </row>
    <row r="8">
      <c r="A8" s="5" t="inlineStr">
        <is>
          <t>매출이익</t>
        </is>
      </c>
      <c r="B8" s="6" t="n">
        <v>0</v>
      </c>
      <c r="C8" s="5" t="inlineStr">
        <is>
          <t>KRW</t>
        </is>
      </c>
      <c r="D8" s="5" t="inlineStr">
        <is>
          <t>매출 - 원가</t>
        </is>
      </c>
    </row>
    <row r="9">
      <c r="A9" s="7" t="inlineStr">
        <is>
          <t>순이익률</t>
        </is>
      </c>
      <c r="B9" s="9" t="n">
        <v>0</v>
      </c>
      <c r="C9" s="7" t="inlineStr">
        <is>
          <t>%</t>
        </is>
      </c>
      <c r="D9" s="7" t="inlineStr"/>
    </row>
    <row r="10">
      <c r="A10" s="5" t="inlineStr">
        <is>
          <t>총 수주건수</t>
        </is>
      </c>
      <c r="B10" s="6" t="n">
        <v>1</v>
      </c>
      <c r="C10" s="5" t="inlineStr">
        <is>
          <t>EA</t>
        </is>
      </c>
      <c r="D10" s="5" t="inlineStr"/>
    </row>
    <row r="11">
      <c r="A11" s="7" t="inlineStr">
        <is>
          <t>평균 수주금액</t>
        </is>
      </c>
      <c r="B11" s="8" t="n">
        <v>1</v>
      </c>
      <c r="C11" s="7" t="inlineStr">
        <is>
          <t>KRW</t>
        </is>
      </c>
      <c r="D11" s="7" t="inlineStr"/>
    </row>
    <row r="12">
      <c r="A12" s="10" t="inlineStr">
        <is>
          <t>생산 품질</t>
        </is>
      </c>
      <c r="B12" s="5" t="inlineStr"/>
      <c r="C12" s="5" t="inlineStr"/>
      <c r="D12" s="5" t="inlineStr"/>
    </row>
    <row r="13">
      <c r="A13" s="7" t="inlineStr">
        <is>
          <t>양품 수량</t>
        </is>
      </c>
      <c r="B13" s="8" t="n">
        <v>1</v>
      </c>
      <c r="C13" s="7" t="inlineStr">
        <is>
          <t>EA</t>
        </is>
      </c>
      <c r="D13" s="7" t="inlineStr"/>
    </row>
    <row r="14">
      <c r="A14" s="5" t="inlineStr">
        <is>
          <t>불량 수량</t>
        </is>
      </c>
      <c r="B14" s="6" t="n">
        <v>1</v>
      </c>
      <c r="C14" s="5" t="inlineStr">
        <is>
          <t>EA</t>
        </is>
      </c>
      <c r="D14" s="5" t="inlineStr"/>
    </row>
    <row r="15">
      <c r="A15" s="7" t="inlineStr">
        <is>
          <t>수율</t>
        </is>
      </c>
      <c r="B15" s="9" t="n">
        <v>50</v>
      </c>
      <c r="C15" s="7" t="inlineStr">
        <is>
          <t>%</t>
        </is>
      </c>
      <c r="D15" s="7" t="inlineStr"/>
    </row>
    <row r="16">
      <c r="A16" s="5" t="inlineStr">
        <is>
          <t>불량 기회비용</t>
        </is>
      </c>
      <c r="B16" s="6" t="n">
        <v>1</v>
      </c>
      <c r="C16" s="5" t="inlineStr">
        <is>
          <t>KRW</t>
        </is>
      </c>
      <c r="D16" s="5" t="inlineStr">
        <is>
          <t>defect_qty x unit_cost</t>
        </is>
      </c>
    </row>
    <row r="17">
      <c r="A17" s="11" t="inlineStr">
        <is>
          <t>AI 예측</t>
        </is>
      </c>
      <c r="B17" s="7" t="inlineStr"/>
      <c r="C17" s="7" t="inlineStr"/>
      <c r="D17" s="7" t="inlineStr"/>
    </row>
    <row r="18">
      <c r="A18" s="5" t="inlineStr">
        <is>
          <t>90일 예상 매출</t>
        </is>
      </c>
      <c r="B18" s="6" t="n">
        <v>1</v>
      </c>
      <c r="C18" s="5" t="inlineStr">
        <is>
          <t>KRW</t>
        </is>
      </c>
      <c r="D18" s="5" t="inlineStr">
        <is>
          <t>x</t>
        </is>
      </c>
    </row>
    <row r="19">
      <c r="A19" s="7" t="inlineStr">
        <is>
          <t>90일 예상 이익</t>
        </is>
      </c>
      <c r="B19" s="8" t="n">
        <v>1</v>
      </c>
      <c r="C19" s="7" t="inlineStr">
        <is>
          <t>KRW</t>
        </is>
      </c>
      <c r="D19" s="7" t="inlineStr"/>
    </row>
    <row r="20">
      <c r="A20" s="5" t="inlineStr">
        <is>
          <t>예상 이익률</t>
        </is>
      </c>
      <c r="B20" s="12" t="n">
        <v>1</v>
      </c>
      <c r="C20" s="5" t="inlineStr">
        <is>
          <t>%</t>
        </is>
      </c>
      <c r="D20" s="5" t="inlineStr"/>
    </row>
  </sheetData>
  <mergeCells count="2">
    <mergeCell ref="A1:D2"/>
    <mergeCell ref="A4:D4"/>
  </mergeCells>
  <conditionalFormatting sqref="B9">
    <cfRule type="cellIs" priority="1" operator="lessThan" dxfId="0">
      <formula>0</formula>
    </cfRule>
  </conditionalFormatting>
  <conditionalFormatting sqref="B15">
    <cfRule type="cellIs" priority="2" operator="lessThan" dxfId="1">
      <formula>95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tabColor rgb="002B4E88"/>
    <outlinePr summaryBelow="1" summaryRight="1"/>
    <pageSetUpPr/>
  </sheetPr>
  <dimension ref="A1:G3"/>
  <sheetViews>
    <sheetView workbookViewId="0">
      <selection activeCell="A1" sqref="A1"/>
    </sheetView>
  </sheetViews>
  <sheetFormatPr baseColWidth="8" defaultRowHeight="15"/>
  <cols>
    <col width="14.35" customWidth="1" style="1" min="1" max="1"/>
    <col width="16.65" customWidth="1" style="1" min="2" max="2"/>
    <col width="16.65" customWidth="1" style="1" min="3" max="3"/>
    <col width="16.65" customWidth="1" style="1" min="4" max="4"/>
    <col width="28.15" customWidth="1" style="1" min="5" max="5"/>
    <col width="16.65" customWidth="1" style="1" min="6" max="6"/>
    <col width="17.8" customWidth="1" style="1" min="7" max="7"/>
  </cols>
  <sheetData>
    <row r="1" ht="26" customHeight="1" s="1">
      <c r="A1" s="13" t="inlineStr">
        <is>
          <t>월별 손익</t>
        </is>
      </c>
    </row>
    <row r="2">
      <c r="A2" s="4" t="inlineStr">
        <is>
          <t>월</t>
        </is>
      </c>
      <c r="B2" s="4" t="inlineStr">
        <is>
          <t>매출</t>
        </is>
      </c>
      <c r="C2" s="4" t="inlineStr">
        <is>
          <t>원가</t>
        </is>
      </c>
      <c r="D2" s="4" t="inlineStr">
        <is>
          <t>이익</t>
        </is>
      </c>
      <c r="E2" s="4" t="inlineStr">
        <is>
          <t>이익률(%)</t>
        </is>
      </c>
      <c r="F2" s="4" t="inlineStr">
        <is>
          <t>수주건수</t>
        </is>
      </c>
      <c r="G2" s="4" t="inlineStr">
        <is>
          <t>평균수주금액</t>
        </is>
      </c>
    </row>
    <row r="3">
      <c r="A3" s="14" t="inlineStr">
        <is>
          <t>합계</t>
        </is>
      </c>
      <c r="B3" s="15">
        <f>SUM(B3:B2)</f>
        <v/>
      </c>
      <c r="C3" s="15">
        <f>SUM(C3:C2)</f>
        <v/>
      </c>
      <c r="D3" s="15">
        <f>SUM(D3:D2)</f>
        <v/>
      </c>
      <c r="E3" s="16">
        <f>IFERROR(D3/B3*100,0)</f>
        <v/>
      </c>
      <c r="F3" s="15">
        <f>SUM(F3:F2)</f>
        <v/>
      </c>
      <c r="G3" s="15" t="inlineStr"/>
    </row>
  </sheetData>
  <mergeCells count="1">
    <mergeCell ref="A1:G1"/>
  </mergeCells>
  <conditionalFormatting sqref="E3:E5">
    <cfRule type="cellIs" priority="1" operator="lessThan" dxfId="0">
      <formula>0</formula>
    </cfRule>
    <cfRule type="cellIs" priority="2" operator="greaterThan" dxfId="2">
      <formula>10</formula>
    </cfRule>
  </conditionalFormatting>
  <conditionalFormatting sqref="D3:D5">
    <cfRule type="cellIs" priority="3" operator="lessThan" dxfId="3">
      <formula>0</formula>
    </cfRule>
  </conditionalFormatting>
  <conditionalFormatting sqref="B3:B5">
    <cfRule type="dataBar" priority="4">
      <dataBar>
        <cfvo type="min" val="0"/>
        <cfvo type="max"/>
        <color rgb="001C365E"/>
      </dataBar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44546A"/>
    <outlinePr summaryBelow="1" summaryRight="1"/>
    <pageSetUpPr/>
  </sheetPr>
  <dimension ref="A1:F3"/>
  <sheetViews>
    <sheetView workbookViewId="0">
      <selection activeCell="A1" sqref="A1"/>
    </sheetView>
  </sheetViews>
  <sheetFormatPr baseColWidth="8" defaultRowHeight="15"/>
  <cols>
    <col width="16.65" customWidth="1" style="1" min="1" max="1"/>
    <col width="16.65" customWidth="1" style="1" min="2" max="2"/>
    <col width="16.65" customWidth="1" style="1" min="3" max="3"/>
    <col width="16.65" customWidth="1" style="1" min="4" max="4"/>
    <col width="28.15" customWidth="1" style="1" min="5" max="5"/>
    <col width="16.65" customWidth="1" style="1" min="6" max="6"/>
  </cols>
  <sheetData>
    <row r="1" ht="26" customHeight="1" s="1">
      <c r="A1" s="13" t="inlineStr">
        <is>
          <t>분기별 실적</t>
        </is>
      </c>
    </row>
    <row r="2">
      <c r="A2" s="4" t="inlineStr">
        <is>
          <t>분기</t>
        </is>
      </c>
      <c r="B2" s="4" t="inlineStr">
        <is>
          <t>매출</t>
        </is>
      </c>
      <c r="C2" s="4" t="inlineStr">
        <is>
          <t>원가</t>
        </is>
      </c>
      <c r="D2" s="4" t="inlineStr">
        <is>
          <t>이익</t>
        </is>
      </c>
      <c r="E2" s="4" t="inlineStr">
        <is>
          <t>이익률(%)</t>
        </is>
      </c>
      <c r="F2" s="4" t="inlineStr">
        <is>
          <t>수주건수</t>
        </is>
      </c>
    </row>
    <row r="3">
      <c r="A3" s="14" t="inlineStr">
        <is>
          <t>합계</t>
        </is>
      </c>
      <c r="B3" s="15">
        <f>SUM(B3:B2)</f>
        <v/>
      </c>
      <c r="C3" s="15">
        <f>SUM(C3:C2)</f>
        <v/>
      </c>
      <c r="D3" s="15">
        <f>SUM(D3:D2)</f>
        <v/>
      </c>
      <c r="E3" s="16">
        <f>IFERROR(D3/B3*100,0)</f>
        <v/>
      </c>
      <c r="F3" s="15">
        <f>SUM(F3:F2)</f>
        <v/>
      </c>
    </row>
  </sheetData>
  <mergeCells count="1">
    <mergeCell ref="A1:F1"/>
  </mergeCells>
  <conditionalFormatting sqref="E3:E5">
    <cfRule type="cellIs" priority="1" operator="lessThan" dxfId="0">
      <formula>0</formula>
    </cfRule>
    <cfRule type="cellIs" priority="2" operator="greaterThan" dxfId="2">
      <formula>10</formula>
    </cfRule>
  </conditionalFormatting>
  <conditionalFormatting sqref="D3:D5">
    <cfRule type="cellIs" priority="3" operator="lessThan" dxfId="3">
      <formula>0</formula>
    </cfRule>
  </conditionalFormatting>
  <conditionalFormatting sqref="B3:B5">
    <cfRule type="dataBar" priority="4">
      <dataBar>
        <cfvo type="min" val="0"/>
        <cfvo type="max"/>
        <color rgb="001C365E"/>
      </dataBar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tabColor rgb="00B47800"/>
    <outlinePr summaryBelow="1" summaryRight="1"/>
    <pageSetUpPr/>
  </sheetPr>
  <dimension ref="A1:E3"/>
  <sheetViews>
    <sheetView workbookViewId="0">
      <selection activeCell="A1" sqref="A1"/>
    </sheetView>
  </sheetViews>
  <sheetFormatPr baseColWidth="8" defaultRowHeight="15"/>
  <cols>
    <col width="17.8" customWidth="1" style="1" min="1" max="1"/>
    <col width="16.65" customWidth="1" style="1" min="2" max="2"/>
    <col width="16.65" customWidth="1" style="1" min="3" max="3"/>
    <col width="16.65" customWidth="1" style="1" min="4" max="4"/>
    <col width="28.15" customWidth="1" style="1" min="5" max="5"/>
  </cols>
  <sheetData>
    <row r="1" ht="26" customHeight="1" s="1">
      <c r="A1" s="13" t="inlineStr">
        <is>
          <t>AI 장기 예측</t>
        </is>
      </c>
    </row>
    <row r="2">
      <c r="A2" s="4" t="inlineStr">
        <is>
          <t>월</t>
        </is>
      </c>
      <c r="B2" s="4" t="inlineStr">
        <is>
          <t>예상 매출</t>
        </is>
      </c>
      <c r="C2" s="4" t="inlineStr">
        <is>
          <t>예상 원가</t>
        </is>
      </c>
      <c r="D2" s="4" t="inlineStr">
        <is>
          <t>예상 이익</t>
        </is>
      </c>
      <c r="E2" s="4" t="inlineStr">
        <is>
          <t>이익률(%)</t>
        </is>
      </c>
    </row>
    <row r="3">
      <c r="A3" s="14" t="inlineStr">
        <is>
          <t>합계</t>
        </is>
      </c>
      <c r="B3" s="15">
        <f>SUM(B3:B2)</f>
        <v/>
      </c>
      <c r="C3" s="15">
        <f>SUM(C3:C2)</f>
        <v/>
      </c>
      <c r="D3" s="15">
        <f>SUM(D3:D2)</f>
        <v/>
      </c>
      <c r="E3" s="16">
        <f>IFERROR(D3/B3*100,0)</f>
        <v/>
      </c>
    </row>
  </sheetData>
  <mergeCells count="1">
    <mergeCell ref="A1:E1"/>
  </mergeCells>
  <conditionalFormatting sqref="E3:E5">
    <cfRule type="colorScale" priority="1">
      <colorScale>
        <cfvo type="min"/>
        <cfvo type="percentile" val="50"/>
        <cfvo type="max"/>
        <color rgb="FFFFDADA"/>
        <color rgb="FFFFF7CE"/>
        <color rgb="FFD7F0E6"/>
      </colorScale>
    </cfRule>
  </conditionalFormatting>
  <conditionalFormatting sqref="B3:B5">
    <cfRule type="dataBar" priority="2">
      <dataBar>
        <cfvo type="min" val="0"/>
        <cfvo type="max"/>
        <color rgb="00B47800"/>
      </dataBar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00277C60"/>
    <outlinePr summaryBelow="1" summaryRight="1"/>
    <pageSetUpPr/>
  </sheetPr>
  <dimension ref="A1:C7"/>
  <sheetViews>
    <sheetView workbookViewId="0">
      <selection activeCell="A1" sqref="A1"/>
    </sheetView>
  </sheetViews>
  <sheetFormatPr baseColWidth="8" defaultRowHeight="15"/>
  <cols>
    <col width="24" customWidth="1" style="1" min="1" max="1"/>
    <col width="18" customWidth="1" style="1" min="2" max="2"/>
    <col width="14" customWidth="1" style="1" min="3" max="3"/>
  </cols>
  <sheetData>
    <row r="1" ht="26" customHeight="1" s="1">
      <c r="A1" s="13" t="inlineStr">
        <is>
          <t>품질 분석</t>
        </is>
      </c>
    </row>
    <row r="2">
      <c r="A2" s="4" t="inlineStr">
        <is>
          <t>구분</t>
        </is>
      </c>
      <c r="B2" s="4" t="inlineStr">
        <is>
          <t>수량</t>
        </is>
      </c>
      <c r="C2" s="4" t="inlineStr">
        <is>
          <t>비율(%)</t>
        </is>
      </c>
    </row>
    <row r="3">
      <c r="A3" s="7" t="inlineStr">
        <is>
          <t>양품</t>
        </is>
      </c>
      <c r="B3" s="8" t="n">
        <v>1</v>
      </c>
      <c r="C3" s="9">
        <f>B3/(B3+B4)*100</f>
        <v/>
      </c>
    </row>
    <row r="4">
      <c r="A4" s="7" t="inlineStr">
        <is>
          <t>불량</t>
        </is>
      </c>
      <c r="B4" s="8" t="n">
        <v>1</v>
      </c>
      <c r="C4" s="9">
        <f>B4/(B3+B4)*100</f>
        <v/>
      </c>
    </row>
    <row r="5">
      <c r="A5" s="7" t="inlineStr">
        <is>
          <t>합계</t>
        </is>
      </c>
      <c r="B5" s="7">
        <f>B3+B4</f>
        <v/>
      </c>
      <c r="C5" s="9" t="inlineStr">
        <is>
          <t>100.00</t>
        </is>
      </c>
    </row>
    <row r="6">
      <c r="A6" s="7" t="inlineStr">
        <is>
          <t>수율</t>
        </is>
      </c>
      <c r="B6" s="7" t="inlineStr"/>
      <c r="C6" s="9" t="n">
        <v>50</v>
      </c>
    </row>
    <row r="7">
      <c r="A7" s="7" t="inlineStr">
        <is>
          <t>불량 기회비용</t>
        </is>
      </c>
      <c r="B7" s="8" t="n">
        <v>1</v>
      </c>
      <c r="C7" s="9" t="inlineStr"/>
    </row>
  </sheetData>
  <mergeCells count="1">
    <mergeCell ref="A1:C1"/>
  </mergeCells>
  <conditionalFormatting sqref="A4:C4">
    <cfRule type="expression" priority="1" dxfId="0">
      <formula>$A4="불량"</formula>
    </cfRule>
  </conditionalFormatting>
  <conditionalFormatting sqref="C6">
    <cfRule type="cellIs" priority="2" operator="lessThan" dxfId="1">
      <formula>95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00C0392B"/>
    <outlinePr summaryBelow="1" summaryRight="1"/>
    <pageSetUpPr/>
  </sheetPr>
  <dimension ref="A1:C7"/>
  <sheetViews>
    <sheetView workbookViewId="0">
      <selection activeCell="A1" sqref="A1"/>
    </sheetView>
  </sheetViews>
  <sheetFormatPr baseColWidth="8" defaultRowHeight="15"/>
  <cols>
    <col width="24" customWidth="1" style="1" min="1" max="1"/>
    <col width="18" customWidth="1" style="1" min="2" max="2"/>
    <col width="14" customWidth="1" style="1" min="3" max="3"/>
  </cols>
  <sheetData>
    <row r="1" ht="26" customHeight="1" s="1">
      <c r="A1" s="13" t="inlineStr">
        <is>
          <t>수주 취소 분석</t>
        </is>
      </c>
    </row>
    <row r="2">
      <c r="A2" s="4" t="inlineStr">
        <is>
          <t>구분</t>
        </is>
      </c>
      <c r="B2" s="4" t="inlineStr">
        <is>
          <t>건수</t>
        </is>
      </c>
      <c r="C2" s="4" t="inlineStr">
        <is>
          <t>비율(%)</t>
        </is>
      </c>
    </row>
    <row r="3">
      <c r="A3" s="7" t="inlineStr">
        <is>
          <t>전체 수주</t>
        </is>
      </c>
      <c r="B3" s="8" t="n">
        <v>1</v>
      </c>
      <c r="C3" s="9" t="inlineStr">
        <is>
          <t>100.00</t>
        </is>
      </c>
    </row>
    <row r="4">
      <c r="A4" s="5" t="inlineStr">
        <is>
          <t>정상 수주</t>
        </is>
      </c>
      <c r="B4" s="6" t="n">
        <v>1</v>
      </c>
      <c r="C4" s="12">
        <f>B4/B3*100</f>
        <v/>
      </c>
    </row>
    <row r="5">
      <c r="A5" s="7" t="inlineStr">
        <is>
          <t>취소 수주</t>
        </is>
      </c>
      <c r="B5" s="7" t="n">
        <v>0</v>
      </c>
      <c r="C5" s="9">
        <f>B5/B3*100</f>
        <v/>
      </c>
    </row>
    <row r="6">
      <c r="A6" s="5" t="inlineStr">
        <is>
          <t>취소 손실액</t>
        </is>
      </c>
      <c r="B6" s="5" t="n">
        <v>0</v>
      </c>
      <c r="C6" s="12" t="inlineStr"/>
    </row>
    <row r="7">
      <c r="A7" s="7" t="inlineStr">
        <is>
          <t>취소율</t>
        </is>
      </c>
      <c r="B7" s="7" t="inlineStr"/>
      <c r="C7" s="9" t="n">
        <v>0</v>
      </c>
    </row>
  </sheetData>
  <mergeCells count="1">
    <mergeCell ref="A1:C1"/>
  </mergeCells>
  <conditionalFormatting sqref="B5">
    <cfRule type="cellIs" priority="1" operator="greaterThan" dxfId="0">
      <formula>10</formula>
    </cfRule>
  </conditionalFormatting>
  <conditionalFormatting sqref="C7">
    <cfRule type="cellIs" priority="2" operator="greaterThan" dxfId="1">
      <formula>5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원준 정</dc:creator>
  <dcterms:created xsi:type="dcterms:W3CDTF">2026-04-15T02:41:52Z</dcterms:created>
  <dcterms:modified xsi:type="dcterms:W3CDTF">2026-04-15T02:45:35Z</dcterms:modified>
  <cp:lastModifiedBy>원준 정</cp:lastModifiedBy>
</cp:coreProperties>
</file>